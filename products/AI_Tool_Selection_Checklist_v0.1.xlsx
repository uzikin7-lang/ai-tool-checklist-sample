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ebbcabb85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45eb832436b4146"/>
    <x:sheet xmlns:r="http://schemas.openxmlformats.org/officeDocument/2006/relationships" name="Tool Matrix" sheetId="2" r:id="Rd8055f5e16374535"/>
    <x:sheet xmlns:r="http://schemas.openxmlformats.org/officeDocument/2006/relationships" name="Use Case Scores" sheetId="3" r:id="R2ad28655030040fe"/>
    <x:sheet xmlns:r="http://schemas.openxmlformats.org/officeDocument/2006/relationships" name="Automation Recipes" sheetId="4" r:id="Re532c57516ac4000"/>
    <x:sheet xmlns:r="http://schemas.openxmlformats.org/officeDocument/2006/relationships" name="Prompt Pack" sheetId="5" r:id="Rd2ef270f6cc449f5"/>
    <x:sheet xmlns:r="http://schemas.openxmlformats.org/officeDocument/2006/relationships" name="Sources" sheetId="6" r:id="Rd0778fa80b98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3"/>
      <x:name val="Carlito"/>
    </x:font>
    <x:font>
      <x:b/>
      <x:sz val="11"/>
      <x:color rgb="0F766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EF7F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7034888524677" /><Relationship Type="http://schemas.openxmlformats.org/officeDocument/2006/relationships/theme" Target="/xl/theme/theme1.xml" Id="R11b506d524414df5" /><Relationship Type="http://schemas.openxmlformats.org/officeDocument/2006/relationships/sharedStrings" Target="/xl/sharedStrings.xml" Id="R07d2760aab6d4966" /><Relationship Type="http://schemas.openxmlformats.org/officeDocument/2006/relationships/worksheet" Target="/xl/worksheets/sheet1.xml" Id="R745eb832436b4146" /><Relationship Type="http://schemas.openxmlformats.org/officeDocument/2006/relationships/worksheet" Target="/xl/worksheets/sheet2.xml" Id="Rd8055f5e16374535" /><Relationship Type="http://schemas.openxmlformats.org/officeDocument/2006/relationships/worksheet" Target="/xl/worksheets/sheet3.xml" Id="R2ad28655030040fe" /><Relationship Type="http://schemas.openxmlformats.org/officeDocument/2006/relationships/worksheet" Target="/xl/worksheets/sheet4.xml" Id="Re532c57516ac4000" /><Relationship Type="http://schemas.openxmlformats.org/officeDocument/2006/relationships/worksheet" Target="/xl/worksheets/sheet5.xml" Id="Rd2ef270f6cc449f5" /><Relationship Type="http://schemas.openxmlformats.org/officeDocument/2006/relationships/worksheet" Target="/xl/worksheets/sheet6.xml" Id="Rd0778fa80b98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82.7699966430664" hidden="0" customWidth="1"/>
  </x:cols>
  <x:sheetData>
    <x:row r="1">
      <x:c r="A1" s="3" t="str">
        <x:v>AIツール選定チェックリスト</x:v>
      </x:c>
    </x:row>
    <x:row r="3">
      <x:c r="A3" s="5" t="str">
        <x:v>小規模事業者・副業ワーカーが、AIツールを雰囲気ではなく用途・費用・運用しやすさで選ぶための実務テンプレートです。</x:v>
      </x:c>
    </x:row>
    <x:row r="5" ht="21" customHeight="1">
      <x:c r="A5" s="7" t="str">
        <x:v>使い方</x:v>
      </x:c>
      <x:c r="B5" s="8" t="str">
        <x:v>Tool Matrixに候補ツールを入力</x:v>
      </x:c>
    </x:row>
    <x:row r="6" ht="21" customHeight="1">
      <x:c r="A6" s="7" t="str"/>
      <x:c r="B6" s="8" t="str">
        <x:v>Use Case Scoresで用途別に1から5点で採点</x:v>
      </x:c>
    </x:row>
    <x:row r="7" ht="21" customHeight="1">
      <x:c r="A7" s="7" t="str"/>
      <x:c r="B7" s="8" t="str">
        <x:v>合計点と月額コストを見て導入候補を絞る</x:v>
      </x:c>
    </x:row>
    <x:row r="8" ht="21" customHeight="1">
      <x:c r="A8" s="7" t="str"/>
      <x:c r="B8" s="8" t="str">
        <x:v>Automation Recipesから最初に試す業務を選ぶ</x:v>
      </x:c>
    </x:row>
    <x:row r="9" ht="21" customHeight="1">
      <x:c r="A9" s="7" t="str"/>
      <x:c r="B9" s="8" t="str">
        <x:v>Prompt Packをコピーして自社向けに調整</x:v>
      </x:c>
    </x:row>
    <x:row r="10" ht="21" customHeight="1">
      <x:c r="A10" s="7" t="str">
        <x:v>注意</x:v>
      </x:c>
      <x:c r="B10" s="8" t="str">
        <x:v>収益保証や投資助言ではありません。</x:v>
      </x:c>
    </x:row>
    <x:row r="11" ht="21" customHeight="1">
      <x:c r="A11" s="7" t="str"/>
      <x:c r="B11" s="8" t="str">
        <x:v>ツール利用規約と最新価格は公式サイトで確認してください。</x:v>
      </x:c>
    </x:row>
    <x:row r="12" ht="21" customHeight="1">
      <x:c r="A12" s="7" t="str">
        <x:v>更新</x:v>
      </x:c>
      <x:c r="B12" s="8" t="str">
        <x:v>初版: 2026-05-13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5.479999542236328" hidden="0" customWidth="1"/>
    <x:col min="3" max="3" width="28.940000534057617" hidden="0" customWidth="1"/>
    <x:col min="4" max="4" width="27.59000015258789" hidden="0" customWidth="1"/>
    <x:col min="5" max="5" width="11.979999542236328" hidden="0" customWidth="1"/>
    <x:col min="6" max="6" width="11.979999542236328" hidden="0" customWidth="1"/>
    <x:col min="7" max="7" width="11.979999542236328" hidden="0" customWidth="1"/>
    <x:col min="8" max="8" width="11.979999542236328" hidden="0" customWidth="1"/>
    <x:col min="9" max="9" width="11.979999542236328" hidden="0" customWidth="1"/>
    <x:col min="10" max="10" width="38.36000061035156" hidden="0" customWidth="1"/>
    <x:col min="11" max="11" width="11.4399995803833" hidden="0" customWidth="1"/>
  </x:cols>
  <x:sheetData>
    <x:row r="1" ht="33" hidden="0" customHeight="1">
      <x:c r="A1" s="13" t="str">
        <x:v>Tool</x:v>
      </x:c>
      <x:c r="B1" s="13" t="str">
        <x:v>Category</x:v>
      </x:c>
      <x:c r="C1" s="13" t="str">
        <x:v>Official URL</x:v>
      </x:c>
      <x:c r="D1" s="13" t="str">
        <x:v>Primary Job</x:v>
      </x:c>
      <x:c r="E1" s="13" t="str">
        <x:v>Monthly Cost JPY</x:v>
      </x:c>
      <x:c r="F1" s="13" t="str">
        <x:v>Free Plan</x:v>
      </x:c>
      <x:c r="G1" s="13" t="str">
        <x:v>Japanese Quality</x:v>
      </x:c>
      <x:c r="H1" s="13" t="str">
        <x:v>Workflow Fit</x:v>
      </x:c>
      <x:c r="I1" s="13" t="str">
        <x:v>Data Risk</x:v>
      </x:c>
      <x:c r="J1" s="13" t="str">
        <x:v>Notes</x:v>
      </x:c>
      <x:c r="K1" s="13" t="str">
        <x:v>Decision</x:v>
      </x:c>
    </x:row>
    <x:row r="2" ht="33" hidden="0" customHeight="1">
      <x:c r="A2" s="9" t="str">
        <x:v>ChatGPT</x:v>
      </x:c>
      <x:c r="B2" s="9" t="str">
        <x:v>General AI</x:v>
      </x:c>
      <x:c r="C2" s="9" t="str">
        <x:v>https://openai.com/chatgpt</x:v>
      </x:c>
      <x:c r="D2" s="9" t="str">
        <x:v>Research, writing, ideation</x:v>
      </x:c>
      <x:c r="E2" s="14" t="n">
        <x:v>3000</x:v>
      </x:c>
      <x:c r="F2" s="9" t="str">
        <x:v>Yes</x:v>
      </x:c>
      <x:c r="G2" s="9" t="n">
        <x:v>5</x:v>
      </x:c>
      <x:c r="H2" s="9" t="n">
        <x:v>4</x:v>
      </x:c>
      <x:c r="I2" s="9" t="n">
        <x:v>3</x:v>
      </x:c>
      <x:c r="J2" s="9" t="str">
        <x:v>幅広い用途。商用利用やデータ設定は要確認</x:v>
      </x:c>
      <x:c r="K2" s="9" t="str">
        <x:f>IF(SUM(G2:I2)&gt;=12,"Test",IF(E2&lt;=3000,"Maybe","Hold"))</x:f>
        <x:v>Test</x:v>
      </x:c>
    </x:row>
    <x:row r="3" ht="33" hidden="0" customHeight="1">
      <x:c r="A3" s="9" t="str">
        <x:v>Gemini</x:v>
      </x:c>
      <x:c r="B3" s="9" t="str">
        <x:v>General AI</x:v>
      </x:c>
      <x:c r="C3" s="9" t="str">
        <x:v>https://gemini.google.com</x:v>
      </x:c>
      <x:c r="D3" s="9" t="str">
        <x:v>Search-connected research</x:v>
      </x:c>
      <x:c r="E3" s="14" t="n">
        <x:v>2900</x:v>
      </x:c>
      <x:c r="F3" s="9" t="str">
        <x:v>Yes</x:v>
      </x:c>
      <x:c r="G3" s="9" t="n">
        <x:v>4</x:v>
      </x:c>
      <x:c r="H3" s="9" t="n">
        <x:v>4</x:v>
      </x:c>
      <x:c r="I3" s="9" t="n">
        <x:v>3</x:v>
      </x:c>
      <x:c r="J3" s="9" t="str">
        <x:v>Google連携と検索文脈に強い</x:v>
      </x:c>
      <x:c r="K3" s="9" t="str">
        <x:f>IF(SUM(G3:I3)&gt;=12,"Test",IF(E3&lt;=3000,"Maybe","Hold"))</x:f>
        <x:v>Maybe</x:v>
      </x:c>
    </x:row>
    <x:row r="4" ht="33" hidden="0" customHeight="1">
      <x:c r="A4" s="9" t="str">
        <x:v>Claude</x:v>
      </x:c>
      <x:c r="B4" s="9" t="str">
        <x:v>General AI</x:v>
      </x:c>
      <x:c r="C4" s="9" t="str">
        <x:v>https://claude.ai</x:v>
      </x:c>
      <x:c r="D4" s="9" t="str">
        <x:v>Long document writing</x:v>
      </x:c>
      <x:c r="E4" s="14" t="n">
        <x:v>3000</x:v>
      </x:c>
      <x:c r="F4" s="9" t="str">
        <x:v>Yes</x:v>
      </x:c>
      <x:c r="G4" s="9" t="n">
        <x:v>5</x:v>
      </x:c>
      <x:c r="H4" s="9" t="n">
        <x:v>4</x:v>
      </x:c>
      <x:c r="I4" s="9" t="n">
        <x:v>3</x:v>
      </x:c>
      <x:c r="J4" s="9" t="str">
        <x:v>長文レビューや文章品質の検証候補</x:v>
      </x:c>
      <x:c r="K4" s="9" t="str">
        <x:f>IF(SUM(G4:I4)&gt;=12,"Test",IF(E4&lt;=3000,"Maybe","Hold"))</x:f>
        <x:v>Test</x:v>
      </x:c>
    </x:row>
    <x:row r="5" ht="33" hidden="0" customHeight="1">
      <x:c r="A5" s="9" t="str">
        <x:v>Jasper</x:v>
      </x:c>
      <x:c r="B5" s="9" t="str">
        <x:v>Marketing AI</x:v>
      </x:c>
      <x:c r="C5" s="9" t="str">
        <x:v>https://www.jasper.ai</x:v>
      </x:c>
      <x:c r="D5" s="9" t="str">
        <x:v>Marketing copy and brand content</x:v>
      </x:c>
      <x:c r="E5" s="14" t="n">
        <x:v>9000</x:v>
      </x:c>
      <x:c r="F5" s="9" t="str">
        <x:v>Trial</x:v>
      </x:c>
      <x:c r="G5" s="9" t="n">
        <x:v>4</x:v>
      </x:c>
      <x:c r="H5" s="9" t="n">
        <x:v>4</x:v>
      </x:c>
      <x:c r="I5" s="9" t="n">
        <x:v>3</x:v>
      </x:c>
      <x:c r="J5" s="9" t="str">
        <x:v>ブランド管理やマーケ用途。費用対効果を要検証</x:v>
      </x:c>
      <x:c r="K5" s="9" t="str">
        <x:f>IF(SUM(G5:I5)&gt;=12,"Test",IF(E5&lt;=3000,"Maybe","Hold"))</x:f>
        <x:v>Hold</x:v>
      </x:c>
    </x:row>
    <x:row r="6" ht="33" hidden="0" customHeight="1">
      <x:c r="A6" s="9" t="str">
        <x:v>Writesonic</x:v>
      </x:c>
      <x:c r="B6" s="9" t="str">
        <x:v>Marketing AI</x:v>
      </x:c>
      <x:c r="C6" s="9" t="str">
        <x:v>https://writesonic.com</x:v>
      </x:c>
      <x:c r="D6" s="9" t="str">
        <x:v>Blog and ad copy</x:v>
      </x:c>
      <x:c r="E6" s="14" t="n">
        <x:v>3000</x:v>
      </x:c>
      <x:c r="F6" s="9" t="str">
        <x:v>Limited</x:v>
      </x:c>
      <x:c r="G6" s="9" t="n">
        <x:v>4</x:v>
      </x:c>
      <x:c r="H6" s="9" t="n">
        <x:v>3</x:v>
      </x:c>
      <x:c r="I6" s="9" t="n">
        <x:v>3</x:v>
      </x:c>
      <x:c r="J6" s="9" t="str">
        <x:v>記事作成系の比較対象</x:v>
      </x:c>
      <x:c r="K6" s="9" t="str">
        <x:f>IF(SUM(G6:I6)&gt;=12,"Test",IF(E6&lt;=3000,"Maybe","Hold"))</x:f>
        <x:v>Maybe</x:v>
      </x:c>
    </x:row>
    <x:row r="7" ht="33" hidden="0" customHeight="1">
      <x:c r="A7" s="9" t="str">
        <x:v>Surfer SEO</x:v>
      </x:c>
      <x:c r="B7" s="9" t="str">
        <x:v>SEO</x:v>
      </x:c>
      <x:c r="C7" s="9" t="str">
        <x:v>https://surferseo.com</x:v>
      </x:c>
      <x:c r="D7" s="9" t="str">
        <x:v>SEO content optimization</x:v>
      </x:c>
      <x:c r="E7" s="14" t="n">
        <x:v>13000</x:v>
      </x:c>
      <x:c r="F7" s="9" t="str">
        <x:v>No</x:v>
      </x:c>
      <x:c r="G7" s="9" t="n">
        <x:v>3</x:v>
      </x:c>
      <x:c r="H7" s="9" t="n">
        <x:v>4</x:v>
      </x:c>
      <x:c r="I7" s="9" t="n">
        <x:v>2</x:v>
      </x:c>
      <x:c r="J7" s="9" t="str">
        <x:v>SEO記事改善。日本語市場では実検証が必要</x:v>
      </x:c>
      <x:c r="K7" s="9" t="str">
        <x:f>IF(SUM(G7:I7)&gt;=12,"Test",IF(E7&lt;=3000,"Maybe","Hold"))</x:f>
        <x:v>Hold</x:v>
      </x:c>
    </x:row>
    <x:row r="8" ht="33" hidden="0" customHeight="1">
      <x:c r="A8" s="9" t="str">
        <x:v>Zapier</x:v>
      </x:c>
      <x:c r="B8" s="9" t="str">
        <x:v>Automation</x:v>
      </x:c>
      <x:c r="C8" s="9" t="str">
        <x:v>https://zapier.com</x:v>
      </x:c>
      <x:c r="D8" s="9" t="str">
        <x:v>Workflow automation</x:v>
      </x:c>
      <x:c r="E8" s="14" t="n">
        <x:v>3000</x:v>
      </x:c>
      <x:c r="F8" s="9" t="str">
        <x:v>Yes</x:v>
      </x:c>
      <x:c r="G8" s="9" t="n">
        <x:v>3</x:v>
      </x:c>
      <x:c r="H8" s="9" t="n">
        <x:v>5</x:v>
      </x:c>
      <x:c r="I8" s="9" t="n">
        <x:v>3</x:v>
      </x:c>
      <x:c r="J8" s="9" t="str">
        <x:v>AIと業務ツール連携の中核候補</x:v>
      </x:c>
      <x:c r="K8" s="9" t="str">
        <x:f>IF(SUM(G8:I8)&gt;=12,"Test",IF(E8&lt;=3000,"Maybe","Hold"))</x:f>
        <x:v>Maybe</x:v>
      </x:c>
    </x:row>
    <x:row r="9" ht="33" hidden="0" customHeight="1">
      <x:c r="A9" s="9" t="str">
        <x:v>Notion AI</x:v>
      </x:c>
      <x:c r="B9" s="9" t="str">
        <x:v>Workspace AI</x:v>
      </x:c>
      <x:c r="C9" s="9" t="str">
        <x:v>https://www.notion.com/product/ai</x:v>
      </x:c>
      <x:c r="D9" s="9" t="str">
        <x:v>Knowledge base and docs</x:v>
      </x:c>
      <x:c r="E9" s="14" t="n">
        <x:v>1500</x:v>
      </x:c>
      <x:c r="F9" s="9" t="str">
        <x:v>Trial</x:v>
      </x:c>
      <x:c r="G9" s="9" t="n">
        <x:v>4</x:v>
      </x:c>
      <x:c r="H9" s="9" t="n">
        <x:v>4</x:v>
      </x:c>
      <x:c r="I9" s="9" t="n">
        <x:v>3</x:v>
      </x:c>
      <x:c r="J9" s="9" t="str">
        <x:v>社内メモやナレッジ運用向け</x:v>
      </x:c>
      <x:c r="K9" s="9" t="str">
        <x:f>IF(SUM(G9:I9)&gt;=12,"Test",IF(E9&lt;=3000,"Maybe","Hold"))</x:f>
        <x:v>Maybe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049999237060547" hidden="0" customWidth="1"/>
    <x:col min="2" max="2" width="9.420000076293945" hidden="0" customWidth="1"/>
    <x:col min="3" max="3" width="7" hidden="0" customWidth="1"/>
    <x:col min="4" max="4" width="5.789999961853027" hidden="0" customWidth="1"/>
    <x:col min="5" max="5" width="5.519999980926514" hidden="0" customWidth="1"/>
    <x:col min="6" max="6" width="5.110000133514404" hidden="0" customWidth="1"/>
    <x:col min="7" max="7" width="5.110000133514404" hidden="0" customWidth="1"/>
    <x:col min="8" max="8" width="6.860000133514404" hidden="0" customWidth="1"/>
  </x:cols>
  <x:sheetData>
    <x:row r="1" ht="33" hidden="0" customHeight="1">
      <x:c r="A1" s="13" t="str">
        <x:v>Use Case</x:v>
      </x:c>
      <x:c r="B1" s="13" t="str">
        <x:v>Importance</x:v>
      </x:c>
      <x:c r="C1" s="13" t="str">
        <x:v>ChatGPT</x:v>
      </x:c>
      <x:c r="D1" s="13" t="str">
        <x:v>Gemini</x:v>
      </x:c>
      <x:c r="E1" s="13" t="str">
        <x:v>Claude</x:v>
      </x:c>
      <x:c r="F1" s="13" t="str">
        <x:v>Jasper</x:v>
      </x:c>
      <x:c r="G1" s="13" t="str">
        <x:v>Zapier</x:v>
      </x:c>
      <x:c r="H1" s="13" t="str">
        <x:v>Best Fit</x:v>
      </x:c>
    </x:row>
    <x:row r="2" ht="33" hidden="0" customHeight="1">
      <x:c r="A2" s="9" t="str">
        <x:v>SNS投稿を週5本作る</x:v>
      </x:c>
      <x:c r="B2" s="15" t="n">
        <x:v>5</x:v>
      </x:c>
      <x:c r="C2" s="15" t="n">
        <x:v>4</x:v>
      </x:c>
      <x:c r="D2" s="15" t="n">
        <x:v>3</x:v>
      </x:c>
      <x:c r="E2" s="15" t="n">
        <x:v>4</x:v>
      </x:c>
      <x:c r="F2" s="15" t="n">
        <x:v>5</x:v>
      </x:c>
      <x:c r="G2" s="15" t="n">
        <x:v>3</x:v>
      </x:c>
      <x:c r="H2" s="9" t="str">
        <x:f>INDEX($C$1:$G$1,1,MATCH(MAX(C2:G2),C2:G2,0))</x:f>
        <x:v>Jasper</x:v>
      </x:c>
    </x:row>
    <x:row r="3" ht="33" hidden="0" customHeight="1">
      <x:c r="A3" s="9" t="str">
        <x:v>問い合わせ返信の下書き</x:v>
      </x:c>
      <x:c r="B3" s="15" t="n">
        <x:v>5</x:v>
      </x:c>
      <x:c r="C3" s="15" t="n">
        <x:v>5</x:v>
      </x:c>
      <x:c r="D3" s="15" t="n">
        <x:v>4</x:v>
      </x:c>
      <x:c r="E3" s="15" t="n">
        <x:v>5</x:v>
      </x:c>
      <x:c r="F3" s="15" t="n">
        <x:v>3</x:v>
      </x:c>
      <x:c r="G3" s="15" t="n">
        <x:v>5</x:v>
      </x:c>
      <x:c r="H3" s="9" t="str">
        <x:f>INDEX($C$1:$G$1,1,MATCH(MAX(C3:G3),C3:G3,0))</x:f>
        <x:v>ChatGPT</x:v>
      </x:c>
    </x:row>
    <x:row r="4" ht="33" hidden="0" customHeight="1">
      <x:c r="A4" s="9" t="str">
        <x:v>ブログ記事の構成作成</x:v>
      </x:c>
      <x:c r="B4" s="15" t="n">
        <x:v>4</x:v>
      </x:c>
      <x:c r="C4" s="15" t="n">
        <x:v>5</x:v>
      </x:c>
      <x:c r="D4" s="15" t="n">
        <x:v>4</x:v>
      </x:c>
      <x:c r="E4" s="15" t="n">
        <x:v>5</x:v>
      </x:c>
      <x:c r="F4" s="15" t="n">
        <x:v>4</x:v>
      </x:c>
      <x:c r="G4" s="15" t="n">
        <x:v>2</x:v>
      </x:c>
      <x:c r="H4" s="9" t="str">
        <x:f>INDEX($C$1:$G$1,1,MATCH(MAX(C4:G4),C4:G4,0))</x:f>
        <x:v>ChatGPT</x:v>
      </x:c>
    </x:row>
    <x:row r="5" ht="33" hidden="0" customHeight="1">
      <x:c r="A5" s="9" t="str">
        <x:v>SEOリライト</x:v>
      </x:c>
      <x:c r="B5" s="15" t="n">
        <x:v>3</x:v>
      </x:c>
      <x:c r="C5" s="15" t="n">
        <x:v>3</x:v>
      </x:c>
      <x:c r="D5" s="15" t="n">
        <x:v>3</x:v>
      </x:c>
      <x:c r="E5" s="15" t="n">
        <x:v>4</x:v>
      </x:c>
      <x:c r="F5" s="15" t="n">
        <x:v>4</x:v>
      </x:c>
      <x:c r="G5" s="15" t="n">
        <x:v>2</x:v>
      </x:c>
      <x:c r="H5" s="9" t="str">
        <x:f>INDEX($C$1:$G$1,1,MATCH(MAX(C5:G5),C5:G5,0))</x:f>
        <x:v>Claude</x:v>
      </x:c>
    </x:row>
    <x:row r="6" ht="33" hidden="0" customHeight="1">
      <x:c r="A6" s="9" t="str">
        <x:v>請求/顧客管理の自動化</x:v>
      </x:c>
      <x:c r="B6" s="15" t="n">
        <x:v>4</x:v>
      </x:c>
      <x:c r="C6" s="15" t="n">
        <x:v>2</x:v>
      </x:c>
      <x:c r="D6" s="15" t="n">
        <x:v>2</x:v>
      </x:c>
      <x:c r="E6" s="15" t="n">
        <x:v>2</x:v>
      </x:c>
      <x:c r="F6" s="15" t="n">
        <x:v>2</x:v>
      </x:c>
      <x:c r="G6" s="15" t="n">
        <x:v>5</x:v>
      </x:c>
      <x:c r="H6" s="9" t="str">
        <x:f>INDEX($C$1:$G$1,1,MATCH(MAX(C6:G6),C6:G6,0))</x:f>
        <x:v>Zapier</x:v>
      </x:c>
    </x:row>
    <x:row r="7" ht="33" hidden="0" customHeight="1">
      <x:c r="A7" s="9" t="str">
        <x:v>商品説明文の改善</x:v>
      </x:c>
      <x:c r="B7" s="15" t="n">
        <x:v>5</x:v>
      </x:c>
      <x:c r="C7" s="15" t="n">
        <x:v>5</x:v>
      </x:c>
      <x:c r="D7" s="15" t="n">
        <x:v>4</x:v>
      </x:c>
      <x:c r="E7" s="15" t="n">
        <x:v>5</x:v>
      </x:c>
      <x:c r="F7" s="15" t="n">
        <x:v>4</x:v>
      </x:c>
      <x:c r="G7" s="15" t="n">
        <x:v>3</x:v>
      </x:c>
      <x:c r="H7" s="9" t="str">
        <x:f>INDEX($C$1:$G$1,1,MATCH(MAX(C7:G7),C7:G7,0))</x:f>
        <x:v>ChatGPT</x:v>
      </x:c>
    </x:row>
    <x:row r="8" ht="33" hidden="0" customHeight="1">
      <x:c r="A8" s="9" t="str">
        <x:v>社内手順書の整備</x:v>
      </x:c>
      <x:c r="B8" s="15" t="n">
        <x:v>3</x:v>
      </x:c>
      <x:c r="C8" s="15" t="n">
        <x:v>4</x:v>
      </x:c>
      <x:c r="D8" s="15" t="n">
        <x:v>4</x:v>
      </x:c>
      <x:c r="E8" s="15" t="n">
        <x:v>5</x:v>
      </x:c>
      <x:c r="F8" s="15" t="n">
        <x:v>3</x:v>
      </x:c>
      <x:c r="G8" s="15" t="n">
        <x:v>4</x:v>
      </x:c>
      <x:c r="H8" s="9" t="str">
        <x:f>INDEX($C$1:$G$1,1,MATCH(MAX(C8:G8),C8:G8,0))</x:f>
        <x:v>Claude</x:v>
      </x:c>
    </x:row>
    <x:row r="9" ht="33" hidden="0" customHeight="1">
      <x:c r="A9" s="9"/>
      <x:c r="B9" s="15"/>
      <x:c r="C9" s="15"/>
      <x:c r="D9" s="15"/>
      <x:c r="E9" s="15"/>
      <x:c r="F9" s="15"/>
      <x:c r="G9" s="15"/>
      <x:c r="H9" s="9"/>
    </x:row>
    <x:row r="10" ht="33" hidden="0" customHeight="1">
      <x:c r="A10" s="9" t="str">
        <x:v>Weighted Total</x:v>
      </x:c>
      <x:c r="B10" s="15" t="str"/>
      <x:c r="C10" s="15" t="str"/>
      <x:c r="D10" s="15" t="str"/>
      <x:c r="E10" s="15" t="str"/>
      <x:c r="F10" s="15" t="str"/>
      <x:c r="G10" s="15" t="str"/>
      <x:c r="H10" s="9" t="str"/>
    </x:row>
    <x:row r="11" ht="33" hidden="0" customHeight="1">
      <x:c r="A11" s="9"/>
      <x:c r="B11" s="15"/>
      <x:c r="C11" s="15" t="n">
        <x:f>SUMPRODUCT($B$2:$B$8,C2:C8)</x:f>
        <x:v>119</x:v>
      </x:c>
      <x:c r="D11" s="15" t="n">
        <x:f>SUMPRODUCT($B$2:$B$8,D2:D8)</x:f>
        <x:v>100</x:v>
      </x:c>
      <x:c r="E11" s="15" t="n">
        <x:f>SUMPRODUCT($B$2:$B$8,E2:E8)</x:f>
        <x:v>125</x:v>
      </x:c>
      <x:c r="F11" s="15" t="n">
        <x:f>SUMPRODUCT($B$2:$B$8,F2:F8)</x:f>
        <x:v>105</x:v>
      </x:c>
      <x:c r="G11" s="15" t="n">
        <x:f>SUMPRODUCT($B$2:$B$8,G2:G8)</x:f>
        <x:v>101</x:v>
      </x:c>
      <x:c r="H1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4000015258789" hidden="0" customWidth="1"/>
    <x:col min="2" max="2" width="16.690000534057617" hidden="0" customWidth="1"/>
    <x:col min="3" max="3" width="21.1299991607666" hidden="0" customWidth="1"/>
    <x:col min="4" max="4" width="21.270000457763672" hidden="0" customWidth="1"/>
    <x:col min="5" max="5" width="16.690000534057617" hidden="0" customWidth="1"/>
    <x:col min="6" max="6" width="11.710000038146973" hidden="0" customWidth="1"/>
    <x:col min="7" max="7" width="7.269999980926514" hidden="0" customWidth="1"/>
  </x:cols>
  <x:sheetData>
    <x:row r="1" ht="33" hidden="0" customHeight="1">
      <x:c r="A1" s="13" t="str">
        <x:v>Recipe</x:v>
      </x:c>
      <x:c r="B1" s="13" t="str">
        <x:v>Trigger</x:v>
      </x:c>
      <x:c r="C1" s="13" t="str">
        <x:v>AI Step</x:v>
      </x:c>
      <x:c r="D1" s="13" t="str">
        <x:v>Automation Step</x:v>
      </x:c>
      <x:c r="E1" s="13" t="str">
        <x:v>Human Check</x:v>
      </x:c>
      <x:c r="F1" s="13" t="str">
        <x:v>KPI</x:v>
      </x:c>
      <x:c r="G1" s="13" t="str">
        <x:v>Difficulty</x:v>
      </x:c>
    </x:row>
    <x:row r="2" ht="33" hidden="0" customHeight="1">
      <x:c r="A2" s="9" t="str">
        <x:v>問い合わせ返信の半自動化</x:v>
      </x:c>
      <x:c r="B2" s="9" t="str">
        <x:v>フォーム受信</x:v>
      </x:c>
      <x:c r="C2" s="9" t="str">
        <x:v>要件整理と返信案作成</x:v>
      </x:c>
      <x:c r="D2" s="9" t="str">
        <x:v>ZapierでGmail/Sheets連携</x:v>
      </x:c>
      <x:c r="E2" s="9" t="str">
        <x:v>送信前に本文確認</x:v>
      </x:c>
      <x:c r="F2" s="9" t="str">
        <x:v>返信時間</x:v>
      </x:c>
      <x:c r="G2" s="9" t="str">
        <x:v>Easy</x:v>
      </x:c>
    </x:row>
    <x:row r="3" ht="33" hidden="0" customHeight="1">
      <x:c r="A3" s="9" t="str">
        <x:v>SNS投稿案生成</x:v>
      </x:c>
      <x:c r="B3" s="9" t="str">
        <x:v>週次テーマ入力</x:v>
      </x:c>
      <x:c r="C3" s="9" t="str">
        <x:v>投稿文10本と画像案作成</x:v>
      </x:c>
      <x:c r="D3" s="9" t="str">
        <x:v>カレンダーへ下書き登録</x:v>
      </x:c>
      <x:c r="E3" s="9" t="str">
        <x:v>炎上・誇大表現確認</x:v>
      </x:c>
      <x:c r="F3" s="9" t="str">
        <x:v>投稿本数</x:v>
      </x:c>
      <x:c r="G3" s="9" t="str">
        <x:v>Easy</x:v>
      </x:c>
    </x:row>
    <x:row r="4" ht="33" hidden="0" customHeight="1">
      <x:c r="A4" s="9" t="str">
        <x:v>商品説明文改善</x:v>
      </x:c>
      <x:c r="B4" s="9" t="str">
        <x:v>商品名と特徴を入力</x:v>
      </x:c>
      <x:c r="C4" s="9" t="str">
        <x:v>説明文、見出し、FAQ作成</x:v>
      </x:c>
      <x:c r="D4" s="9" t="str">
        <x:v>販売ページへ転記</x:v>
      </x:c>
      <x:c r="E4" s="9" t="str">
        <x:v>実物と違う表現確認</x:v>
      </x:c>
      <x:c r="F4" s="9" t="str">
        <x:v>CVR</x:v>
      </x:c>
      <x:c r="G4" s="9" t="str">
        <x:v>Easy</x:v>
      </x:c>
    </x:row>
    <x:row r="5" ht="33" hidden="0" customHeight="1">
      <x:c r="A5" s="9" t="str">
        <x:v>競合記事リサーチ</x:v>
      </x:c>
      <x:c r="B5" s="9" t="str">
        <x:v>キーワード入力</x:v>
      </x:c>
      <x:c r="C5" s="9" t="str">
        <x:v>構成と不足論点を抽出</x:v>
      </x:c>
      <x:c r="D5" s="9" t="str">
        <x:v>Notion/Sheetsに保存</x:v>
      </x:c>
      <x:c r="E5" s="9" t="str">
        <x:v>引用と出典確認</x:v>
      </x:c>
      <x:c r="F5" s="9" t="str">
        <x:v>記事作成時間</x:v>
      </x:c>
      <x:c r="G5" s="9" t="str">
        <x:v>Medium</x:v>
      </x:c>
    </x:row>
    <x:row r="6" ht="33" hidden="0" customHeight="1">
      <x:c r="A6" s="9" t="str">
        <x:v>請求前チェック</x:v>
      </x:c>
      <x:c r="B6" s="9" t="str">
        <x:v>請求書作成</x:v>
      </x:c>
      <x:c r="C6" s="9" t="str">
        <x:v>漏れ・金額・宛名の確認</x:v>
      </x:c>
      <x:c r="D6" s="9" t="str">
        <x:v>Driveに保存</x:v>
      </x:c>
      <x:c r="E6" s="9" t="str">
        <x:v>金額を人間確認</x:v>
      </x:c>
      <x:c r="F6" s="9" t="str">
        <x:v>差戻し件数</x:v>
      </x:c>
      <x:c r="G6" s="9" t="str">
        <x:v>Medium</x:v>
      </x:c>
    </x:row>
    <x:row r="7" ht="33" hidden="0" customHeight="1">
      <x:c r="A7" s="9" t="str">
        <x:v>顧客レビュー返信</x:v>
      </x:c>
      <x:c r="B7" s="9" t="str">
        <x:v>レビュー投稿</x:v>
      </x:c>
      <x:c r="C7" s="9" t="str">
        <x:v>丁寧な返信案作成</x:v>
      </x:c>
      <x:c r="D7" s="9" t="str">
        <x:v>管理画面へ下書き</x:v>
      </x:c>
      <x:c r="E7" s="9" t="str">
        <x:v>事実関係確認</x:v>
      </x:c>
      <x:c r="F7" s="9" t="str">
        <x:v>返信率</x:v>
      </x:c>
      <x:c r="G7" s="9" t="str">
        <x:v>Easy</x:v>
      </x:c>
    </x:row>
    <x:row r="8" ht="33" hidden="0" customHeight="1">
      <x:c r="A8" s="9" t="str">
        <x:v>ニュース要約</x:v>
      </x:c>
      <x:c r="B8" s="9" t="str">
        <x:v>RSS取得</x:v>
      </x:c>
      <x:c r="C8" s="9" t="str">
        <x:v>要点と業務影響を要約</x:v>
      </x:c>
      <x:c r="D8" s="9" t="str">
        <x:v>承認キューへ登録</x:v>
      </x:c>
      <x:c r="E8" s="9" t="str">
        <x:v>一次情報確認</x:v>
      </x:c>
      <x:c r="F8" s="9" t="str">
        <x:v>承認数</x:v>
      </x:c>
      <x:c r="G8" s="9" t="str">
        <x:v>Medium</x:v>
      </x:c>
    </x:row>
    <x:row r="9" ht="33" hidden="0" customHeight="1">
      <x:c r="A9" s="9" t="str">
        <x:v>月次改善レポート</x:v>
      </x:c>
      <x:c r="B9" s="9" t="str">
        <x:v>月末</x:v>
      </x:c>
      <x:c r="C9" s="9" t="str">
        <x:v>数値から改善案生成</x:v>
      </x:c>
      <x:c r="D9" s="9" t="str">
        <x:v>Sheetsに集計</x:v>
      </x:c>
      <x:c r="E9" s="9" t="str">
        <x:v>施策優先度確認</x:v>
      </x:c>
      <x:c r="F9" s="9" t="str">
        <x:v>改善実行数</x:v>
      </x:c>
      <x:c r="G9" s="9" t="str">
        <x:v>Medium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29999542236328" hidden="0" customWidth="1"/>
    <x:col min="2" max="2" width="10.09000015258789" hidden="0" customWidth="1"/>
    <x:col min="3" max="3" width="121.12999725341797" hidden="0" customWidth="1"/>
    <x:col min="4" max="4" width="29.610000610351562" hidden="0" customWidth="1"/>
  </x:cols>
  <x:sheetData>
    <x:row r="1" ht="33" hidden="0" customHeight="1">
      <x:c r="A1" s="13" t="str">
        <x:v>Prompt Name</x:v>
      </x:c>
      <x:c r="B1" s="13" t="str">
        <x:v>Use Case</x:v>
      </x:c>
      <x:c r="C1" s="13" t="str">
        <x:v>Prompt</x:v>
      </x:c>
      <x:c r="D1" s="13" t="str">
        <x:v>Check Before Use</x:v>
      </x:c>
    </x:row>
    <x:row r="2" ht="33" hidden="0" customHeight="1">
      <x:c r="A2" s="9" t="str">
        <x:v>AIツール比較</x:v>
      </x:c>
      <x:c r="B2" s="9" t="str">
        <x:v>導入検討</x:v>
      </x:c>
      <x:c r="C2" s="9" t="str">
        <x:v>あなたは小規模事業者向けの業務改善担当です。次の用途、予算、既存ツールをもとにAIツール候補を比較し、導入しない選択肢も含めて提案してください。</x:v>
      </x:c>
      <x:c r="D2" s="9" t="str">
        <x:v>価格と規約を公式サイトで確認</x:v>
      </x:c>
    </x:row>
    <x:row r="3" ht="33" hidden="0" customHeight="1">
      <x:c r="A3" s="9" t="str">
        <x:v>商品説明改善</x:v>
      </x:c>
      <x:c r="B3" s="9" t="str">
        <x:v>EC/フリマ</x:v>
      </x:c>
      <x:c r="C3" s="9" t="str">
        <x:v>次の商品情報から、誇張せず、購入前の不安を減らす商品説明文、見出し、FAQを作ってください。事実不明な点は質問として返してください。</x:v>
      </x:c>
      <x:c r="D3" s="9" t="str">
        <x:v>実物と違う表現を削除</x:v>
      </x:c>
    </x:row>
    <x:row r="4" ht="33" hidden="0" customHeight="1">
      <x:c r="A4" s="9" t="str">
        <x:v>問い合わせ返信</x:v>
      </x:c>
      <x:c r="B4" s="9" t="str">
        <x:v>顧客対応</x:v>
      </x:c>
      <x:c r="C4" s="9" t="str">
        <x:v>次の問い合わせに対し、丁寧で短い返信案を3パターン作ってください。約束できない内容は避け、確認事項を箇条書きにしてください。</x:v>
      </x:c>
      <x:c r="D4" s="9" t="str">
        <x:v>送信前に個人情報と条件を確認</x:v>
      </x:c>
    </x:row>
    <x:row r="5" ht="33" hidden="0" customHeight="1">
      <x:c r="A5" s="9" t="str">
        <x:v>SNS投稿案</x:v>
      </x:c>
      <x:c r="B5" s="9" t="str">
        <x:v>マーケ</x:v>
      </x:c>
      <x:c r="C5" s="9" t="str">
        <x:v>次のテーマから、売り込みすぎないSNS投稿案を10本作ってください。各投稿に狙い、想定読者、CTAを付けてください。</x:v>
      </x:c>
      <x:c r="D5" s="9" t="str">
        <x:v>断定表現と炎上リスクを確認</x:v>
      </x:c>
    </x:row>
    <x:row r="6" ht="33" hidden="0" customHeight="1">
      <x:c r="A6" s="9" t="str">
        <x:v>記事構成</x:v>
      </x:c>
      <x:c r="B6" s="9" t="str">
        <x:v>SEO/ブログ</x:v>
      </x:c>
      <x:c r="C6" s="9" t="str">
        <x:v>次のキーワードについて、検索者の悩み、記事構成、見出し、入れるべき一次情報、避けるべき誇大表現を整理してください。</x:v>
      </x:c>
      <x:c r="D6" s="9" t="str">
        <x:v>一次情報リンクを追加</x:v>
      </x:c>
    </x:row>
    <x:row r="7" ht="33" hidden="0" customHeight="1">
      <x:c r="A7" s="9" t="str">
        <x:v>業務自動化分解</x:v>
      </x:c>
      <x:c r="B7" s="9" t="str">
        <x:v>Zapier/Make</x:v>
      </x:c>
      <x:c r="C7" s="9" t="str">
        <x:v>次の手作業を、トリガー、入力、AI処理、出力、人間確認、失敗時対応に分解してください。</x:v>
      </x:c>
      <x:c r="D7" s="9" t="str">
        <x:v>自動送信や課金処理は承認制にする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19999694824219" hidden="0" customWidth="1"/>
    <x:col min="2" max="2" width="22.209999084472656" hidden="0" customWidth="1"/>
    <x:col min="3" max="3" width="18.56999969482422" hidden="0" customWidth="1"/>
    <x:col min="4" max="4" width="10.5" hidden="0" customWidth="1"/>
  </x:cols>
  <x:sheetData>
    <x:row r="1" ht="33" hidden="0" customHeight="1">
      <x:c r="A1" s="13" t="str">
        <x:v>Source</x:v>
      </x:c>
      <x:c r="B1" s="13" t="str">
        <x:v>URL</x:v>
      </x:c>
      <x:c r="C1" s="13" t="str">
        <x:v>Purpose</x:v>
      </x:c>
      <x:c r="D1" s="13" t="str">
        <x:v>Last Checked</x:v>
      </x:c>
    </x:row>
    <x:row r="2" ht="33" hidden="0" customHeight="1">
      <x:c r="A2" s="9" t="str">
        <x:v>OpenAI ChatGPT</x:v>
      </x:c>
      <x:c r="B2" s="9" t="str">
        <x:v>https://openai.com/chatgpt</x:v>
      </x:c>
      <x:c r="C2" s="9" t="str">
        <x:v>General AI candidate</x:v>
      </x:c>
      <x:c r="D2" s="9" t="str">
        <x:v>2026-05-13</x:v>
      </x:c>
    </x:row>
    <x:row r="3" ht="33" hidden="0" customHeight="1">
      <x:c r="A3" s="9" t="str">
        <x:v>Google Gemini</x:v>
      </x:c>
      <x:c r="B3" s="9" t="str">
        <x:v>https://gemini.google.com</x:v>
      </x:c>
      <x:c r="C3" s="9" t="str">
        <x:v>General AI candidate</x:v>
      </x:c>
      <x:c r="D3" s="9" t="str">
        <x:v>2026-05-13</x:v>
      </x:c>
    </x:row>
    <x:row r="4" ht="33" hidden="0" customHeight="1">
      <x:c r="A4" s="9" t="str">
        <x:v>Claude</x:v>
      </x:c>
      <x:c r="B4" s="9" t="str">
        <x:v>https://claude.ai</x:v>
      </x:c>
      <x:c r="C4" s="9" t="str">
        <x:v>General AI candidate</x:v>
      </x:c>
      <x:c r="D4" s="9" t="str">
        <x:v>2026-05-13</x:v>
      </x:c>
    </x:row>
    <x:row r="5" ht="33" hidden="0" customHeight="1">
      <x:c r="A5" s="9" t="str">
        <x:v>Jasper</x:v>
      </x:c>
      <x:c r="B5" s="9" t="str">
        <x:v>https://www.jasper.ai</x:v>
      </x:c>
      <x:c r="C5" s="9" t="str">
        <x:v>Marketing AI candidate</x:v>
      </x:c>
      <x:c r="D5" s="9" t="str">
        <x:v>2026-05-13</x:v>
      </x:c>
    </x:row>
    <x:row r="6" ht="33" hidden="0" customHeight="1">
      <x:c r="A6" s="9" t="str">
        <x:v>Writesonic</x:v>
      </x:c>
      <x:c r="B6" s="9" t="str">
        <x:v>https://writesonic.com</x:v>
      </x:c>
      <x:c r="C6" s="9" t="str">
        <x:v>Marketing AI candidate</x:v>
      </x:c>
      <x:c r="D6" s="9" t="str">
        <x:v>2026-05-13</x:v>
      </x:c>
    </x:row>
    <x:row r="7" ht="33" hidden="0" customHeight="1">
      <x:c r="A7" s="9" t="str">
        <x:v>Surfer SEO</x:v>
      </x:c>
      <x:c r="B7" s="9" t="str">
        <x:v>https://surferseo.com</x:v>
      </x:c>
      <x:c r="C7" s="9" t="str">
        <x:v>SEO candidate</x:v>
      </x:c>
      <x:c r="D7" s="9" t="str">
        <x:v>2026-05-13</x:v>
      </x:c>
    </x:row>
    <x:row r="8" ht="33" hidden="0" customHeight="1">
      <x:c r="A8" s="9" t="str">
        <x:v>Zapier</x:v>
      </x:c>
      <x:c r="B8" s="9" t="str">
        <x:v>https://zapier.com</x:v>
      </x:c>
      <x:c r="C8" s="9" t="str">
        <x:v>Automation candidate</x:v>
      </x:c>
      <x:c r="D8" s="9" t="str">
        <x:v>2026-05-13</x:v>
      </x:c>
    </x:row>
  </x:sheetData>
  <x:pageMargins left="0.7" right="0.7" top="0.75" bottom="0.75" header="0.3" footer="0.3"/>
</x:worksheet>
</file>